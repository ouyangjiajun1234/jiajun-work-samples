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1f5e71545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" sheetId="1" r:id="R00212f9f1851404f"/>
    <x:sheet xmlns:r="http://schemas.openxmlformats.org/officeDocument/2006/relationships" name="Issues" sheetId="2" r:id="R542e8408a6364a00"/>
    <x:sheet xmlns:r="http://schemas.openxmlformats.org/officeDocument/2006/relationships" name="Originals" sheetId="3" r:id="R4ce573980109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@"/>
  </x:numFmts>
  <x:fonts count="5">
    <x:font>
      <x:sz val="11"/>
      <x:name val="Carlito"/>
    </x:font>
    <x:font>
      <x:sz val="11"/>
      <x:color rgb="FF243047"/>
      <x:name val="Arial"/>
    </x:font>
    <x:font>
      <x:b/>
      <x:sz val="16"/>
      <x:color rgb="FF182844"/>
      <x:name val="Arial"/>
    </x:font>
    <x:font>
      <x:b/>
      <x:sz val="11"/>
      <x:color rgb="FFFFFFFF"/>
      <x:name val="Arial"/>
    </x:font>
    <x:font>
      <x:b/>
      <x:sz val="11"/>
      <x:color rgb="FF24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665"/>
      </x:patternFill>
    </x:fill>
  </x:fills>
  <x:borders count="2">
    <x:border/>
    <x:border>
      <x:bottom style="thin">
        <x:color rgb="FFDCE2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744A0A"/>
      </x:font>
      <x:fill>
        <x:patternFill patternType="solid">
          <x:bgColor rgb="FFFFF2D9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744A0A"/>
      </x:font>
      <x:fill>
        <x:patternFill patternType="solid"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f1f3d12934fd2" /><Relationship Type="http://schemas.openxmlformats.org/officeDocument/2006/relationships/theme" Target="/xl/theme/theme1.xml" Id="R23bb2d2db2b94ff2" /><Relationship Type="http://schemas.openxmlformats.org/officeDocument/2006/relationships/sharedStrings" Target="/xl/sharedStrings.xml" Id="Rad057d150d49423a" /><Relationship Type="http://schemas.openxmlformats.org/officeDocument/2006/relationships/worksheet" Target="/xl/worksheets/sheet1.xml" Id="R00212f9f1851404f" /><Relationship Type="http://schemas.openxmlformats.org/officeDocument/2006/relationships/worksheet" Target="/xl/worksheets/sheet2.xml" Id="R542e8408a6364a00" /><Relationship Type="http://schemas.openxmlformats.org/officeDocument/2006/relationships/worksheet" Target="/xl/worksheets/sheet3.xml" Id="R4ce573980109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665"/>
  </x:sheetPr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4" hidden="0" customWidth="1"/>
    <x:col min="4" max="4" width="26" hidden="0" customWidth="1"/>
    <x:col min="5" max="5" width="19" hidden="0" customWidth="1"/>
    <x:col min="6" max="6" width="21" hidden="0" customWidth="1"/>
    <x:col min="7" max="7" width="16" hidden="0" customWidth="1"/>
    <x:col min="8" max="8" width="1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25" customHeight="1">
      <x:c r="A2" s="4" t="str">
        <x:v>Order data cleaning demo</x:v>
      </x:c>
      <x:c r="B2" s="3"/>
      <x:c r="C2" s="3"/>
      <x:c r="D2" s="3"/>
      <x:c r="E2" s="3"/>
      <x:c r="F2" s="3"/>
      <x:c r="G2" s="3"/>
      <x:c r="H2" s="3"/>
    </x:row>
    <x:row r="3" ht="25" customHeight="1">
      <x:c r="A3" s="3" t="str">
        <x:v>Two tables merged. Original records retained. Exceptions listed separately.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29" customHeight="1">
      <x:c r="A5" s="7" t="str">
        <x:v>Disposition</x:v>
      </x:c>
      <x:c r="B5" s="7" t="str">
        <x:v>Rows</x:v>
      </x:c>
      <x:c r="C5" s="3"/>
      <x:c r="D5" s="3"/>
      <x:c r="E5" s="3"/>
      <x:c r="F5" s="3"/>
      <x:c r="G5" s="3"/>
      <x:c r="H5" s="3"/>
    </x:row>
    <x:row r="6" ht="25" customHeight="1">
      <x:c r="A6" s="3" t="str">
        <x:v>Input records</x:v>
      </x:c>
      <x:c r="B6" s="9" t="n">
        <x:f>COUNTA('Originals'!A6:A11)+COUNTA('Originals'!A17:A22)</x:f>
        <x:v>12</x:v>
      </x:c>
      <x:c r="C6" s="3"/>
      <x:c r="D6" s="3" t="str">
        <x:v>Cleaned total (CNY)</x:v>
      </x:c>
      <x:c r="E6" s="8" t="n">
        <x:f>ROUND(SUM(F14:F20),2)</x:f>
        <x:v>371.2</x:v>
      </x:c>
      <x:c r="F6" s="3"/>
      <x:c r="G6" s="3"/>
      <x:c r="H6" s="3"/>
    </x:row>
    <x:row r="7" ht="25" customHeight="1">
      <x:c r="A7" s="3" t="str">
        <x:v>Cleaned records</x:v>
      </x:c>
      <x:c r="B7" s="9" t="n">
        <x:f>COUNTA(A14:A20)</x:f>
        <x:v>7</x:v>
      </x:c>
      <x:c r="C7" s="3"/>
      <x:c r="D7" s="3"/>
      <x:c r="E7" s="3"/>
      <x:c r="F7" s="3"/>
      <x:c r="G7" s="3"/>
      <x:c r="H7" s="3"/>
    </x:row>
    <x:row r="8" ht="25" customHeight="1">
      <x:c r="A8" s="3" t="str">
        <x:v>Duplicate removed</x:v>
      </x:c>
      <x:c r="B8" s="9" t="n">
        <x:f>COUNTIFS('Issues'!A6:A10,"Duplicate removed")</x:f>
        <x:v>1</x:v>
      </x:c>
      <x:c r="C8" s="3"/>
      <x:c r="D8" s="3" t="str">
        <x:v>Review records excluded from total.</x:v>
      </x:c>
      <x:c r="E8" s="3"/>
      <x:c r="F8" s="3"/>
      <x:c r="G8" s="3"/>
      <x:c r="H8" s="3"/>
    </x:row>
    <x:row r="9" ht="25" customHeight="1">
      <x:c r="A9" s="3" t="str">
        <x:v>Review needed</x:v>
      </x:c>
      <x:c r="B9" s="9" t="n">
        <x:f>COUNTIFS('Issues'!A6:A10,"Review needed")</x:f>
        <x:v>4</x:v>
      </x:c>
      <x:c r="C9" s="3"/>
      <x:c r="D9" s="3"/>
      <x:c r="E9" s="3"/>
      <x:c r="F9" s="3"/>
      <x:c r="G9" s="3"/>
      <x:c r="H9" s="3"/>
    </x:row>
    <x:row r="10" ht="25" customHeight="1">
      <x:c r="A10" s="3" t="str">
        <x:v>Unclassified rows</x:v>
      </x:c>
      <x:c r="B10" s="9" t="n">
        <x:f>B6-SUM(B7:B9)</x:f>
        <x:v>0</x:v>
      </x:c>
      <x:c r="C10" s="3"/>
      <x:c r="D10" s="3"/>
      <x:c r="E10" s="3"/>
      <x:c r="F10" s="3"/>
      <x:c r="G10" s="3"/>
      <x:c r="H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</x:row>
    <x:row r="13" ht="29" customHeight="1">
      <x:c r="A13" s="7" t="str">
        <x:v>Order ID</x:v>
      </x:c>
      <x:c r="B13" s="7" t="str">
        <x:v>Product</x:v>
      </x:c>
      <x:c r="C13" s="7" t="str">
        <x:v>Quantity</x:v>
      </x:c>
      <x:c r="D13" s="7" t="str">
        <x:v>Unit price (CNY)</x:v>
      </x:c>
      <x:c r="E13" s="7" t="str">
        <x:v>Date</x:v>
      </x:c>
      <x:c r="F13" s="7" t="str">
        <x:v>Amount (CNY)</x:v>
      </x:c>
      <x:c r="G13" s="7" t="str">
        <x:v>Source table</x:v>
      </x:c>
      <x:c r="H13" s="7" t="str">
        <x:v>Source row</x:v>
      </x:c>
    </x:row>
    <x:row r="14" ht="25" customHeight="1">
      <x:c r="A14" s="3" t="str">
        <x:v>S-001</x:v>
      </x:c>
      <x:c r="B14" s="3" t="str">
        <x:v>Mug</x:v>
      </x:c>
      <x:c r="C14" s="9" t="n">
        <x:v>2</x:v>
      </x:c>
      <x:c r="D14" s="10" t="n">
        <x:v>39.9</x:v>
      </x:c>
      <x:c r="E14" s="11" t="n">
        <x:v>46266</x:v>
      </x:c>
      <x:c r="F14" s="10" t="n">
        <x:f>ROUND(C14*D14,2)</x:f>
        <x:v>79.8</x:v>
      </x:c>
      <x:c r="G14" s="3" t="str">
        <x:v>Table A</x:v>
      </x:c>
      <x:c r="H14" s="9" t="n">
        <x:v>1</x:v>
      </x:c>
    </x:row>
    <x:row r="15" ht="25" customHeight="1">
      <x:c r="A15" s="3" t="str">
        <x:v>S-002</x:v>
      </x:c>
      <x:c r="B15" s="3" t="str">
        <x:v>Desk lamp</x:v>
      </x:c>
      <x:c r="C15" s="9" t="n">
        <x:v>1</x:v>
      </x:c>
      <x:c r="D15" s="10" t="n">
        <x:v>89</x:v>
      </x:c>
      <x:c r="E15" s="11" t="n">
        <x:v>46267</x:v>
      </x:c>
      <x:c r="F15" s="10" t="n">
        <x:f>ROUND(C15*D15,2)</x:f>
        <x:v>89</x:v>
      </x:c>
      <x:c r="G15" s="3" t="str">
        <x:v>Table A</x:v>
      </x:c>
      <x:c r="H15" s="9" t="n">
        <x:v>2</x:v>
      </x:c>
    </x:row>
    <x:row r="16" ht="25" customHeight="1">
      <x:c r="A16" s="3" t="str">
        <x:v>S-003</x:v>
      </x:c>
      <x:c r="B16" s="3" t="str">
        <x:v>Notebook</x:v>
      </x:c>
      <x:c r="C16" s="9" t="n">
        <x:v>3</x:v>
      </x:c>
      <x:c r="D16" s="10" t="n">
        <x:v>12.5</x:v>
      </x:c>
      <x:c r="E16" s="11" t="n">
        <x:v>46268</x:v>
      </x:c>
      <x:c r="F16" s="10" t="n">
        <x:f>ROUND(C16*D16,2)</x:f>
        <x:v>37.5</x:v>
      </x:c>
      <x:c r="G16" s="3" t="str">
        <x:v>Table A</x:v>
      </x:c>
      <x:c r="H16" s="9" t="n">
        <x:v>3</x:v>
      </x:c>
    </x:row>
    <x:row r="17" ht="25" customHeight="1">
      <x:c r="A17" s="3" t="str">
        <x:v>S-006</x:v>
      </x:c>
      <x:c r="B17" s="3" t="str">
        <x:v>Cable</x:v>
      </x:c>
      <x:c r="C17" s="9" t="n">
        <x:v>2</x:v>
      </x:c>
      <x:c r="D17" s="10" t="n">
        <x:v>18</x:v>
      </x:c>
      <x:c r="E17" s="11" t="n">
        <x:v>46270</x:v>
      </x:c>
      <x:c r="F17" s="10" t="n">
        <x:f>ROUND(C17*D17,2)</x:f>
        <x:v>36</x:v>
      </x:c>
      <x:c r="G17" s="3" t="str">
        <x:v>Table A</x:v>
      </x:c>
      <x:c r="H17" s="9" t="n">
        <x:v>6</x:v>
      </x:c>
    </x:row>
    <x:row r="18" ht="25" customHeight="1">
      <x:c r="A18" s="3" t="str">
        <x:v>S-007</x:v>
      </x:c>
      <x:c r="B18" s="3" t="str">
        <x:v>Tote bag</x:v>
      </x:c>
      <x:c r="C18" s="9" t="n">
        <x:v>1</x:v>
      </x:c>
      <x:c r="D18" s="10" t="n">
        <x:v>59</x:v>
      </x:c>
      <x:c r="E18" s="11" t="n">
        <x:v>46271</x:v>
      </x:c>
      <x:c r="F18" s="10" t="n">
        <x:f>ROUND(C18*D18,2)</x:f>
        <x:v>59</x:v>
      </x:c>
      <x:c r="G18" s="3" t="str">
        <x:v>Table B</x:v>
      </x:c>
      <x:c r="H18" s="9" t="n">
        <x:v>3</x:v>
      </x:c>
    </x:row>
    <x:row r="19" ht="25" customHeight="1">
      <x:c r="A19" s="3" t="str">
        <x:v>S-009</x:v>
      </x:c>
      <x:c r="B19" s="3" t="str">
        <x:v>Phone stand</x:v>
      </x:c>
      <x:c r="C19" s="9" t="n">
        <x:v>2</x:v>
      </x:c>
      <x:c r="D19" s="10" t="n">
        <x:v>25</x:v>
      </x:c>
      <x:c r="E19" s="11" t="n">
        <x:v>46273</x:v>
      </x:c>
      <x:c r="F19" s="10" t="n">
        <x:f>ROUND(C19*D19,2)</x:f>
        <x:v>50</x:v>
      </x:c>
      <x:c r="G19" s="3" t="str">
        <x:v>Table B</x:v>
      </x:c>
      <x:c r="H19" s="9" t="n">
        <x:v>5</x:v>
      </x:c>
    </x:row>
    <x:row r="20" ht="25" customHeight="1">
      <x:c r="A20" s="13" t="str">
        <x:v>S-010</x:v>
      </x:c>
      <x:c r="B20" s="13" t="str">
        <x:v>Mouse pad</x:v>
      </x:c>
      <x:c r="C20" s="14" t="n">
        <x:v>1</x:v>
      </x:c>
      <x:c r="D20" s="15" t="n">
        <x:v>19.9</x:v>
      </x:c>
      <x:c r="E20" s="16" t="n">
        <x:v>46274</x:v>
      </x:c>
      <x:c r="F20" s="15" t="n">
        <x:f>ROUND(C20*D20,2)</x:f>
        <x:v>19.9</x:v>
      </x:c>
      <x:c r="G20" s="13" t="str">
        <x:v>Table B</x:v>
      </x:c>
      <x:c r="H20" s="14" t="n">
        <x:v>6</x:v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</x:row>
    <x:row r="23" ht="25" customHeight="1">
      <x:c r="A23" s="12" t="str">
        <x:v>Cleaning rules</x:v>
      </x:c>
      <x:c r="B23" s="3"/>
      <x:c r="C23" s="3"/>
      <x:c r="D23" s="3"/>
      <x:c r="E23" s="3"/>
      <x:c r="F23" s="3"/>
      <x:c r="G23" s="3"/>
      <x:c r="H23" s="3"/>
    </x:row>
    <x:row r="24" ht="25" customHeight="1">
      <x:c r="A24" s="3" t="str">
        <x:v>Each row is one complete order. Match by Order ID. All prices are CNY.</x:v>
      </x:c>
      <x:c r="B24" s="3"/>
      <x:c r="C24" s="3"/>
      <x:c r="D24" s="3"/>
      <x:c r="E24" s="3"/>
      <x:c r="F24" s="3"/>
      <x:c r="G24" s="3"/>
      <x:c r="H24" s="3"/>
    </x:row>
    <x:row r="25" ht="25" customHeight="1">
      <x:c r="A25" s="3" t="str">
        <x:v>Trim spaces, uppercase Order IDs, and convert valid numbers and dates.</x:v>
      </x:c>
      <x:c r="B25" s="3"/>
      <x:c r="C25" s="3"/>
      <x:c r="D25" s="3"/>
      <x:c r="E25" s="3"/>
      <x:c r="F25" s="3"/>
      <x:c r="G25" s="3"/>
      <x:c r="H25" s="3"/>
    </x:row>
    <x:row r="26" ht="25" customHeight="1">
      <x:c r="A26" s="3" t="str">
        <x:v>Retain the first record only when all normalized fields match for the same ID.</x:v>
      </x:c>
      <x:c r="B26" s="3"/>
      <x:c r="C26" s="3"/>
      <x:c r="D26" s="3"/>
      <x:c r="E26" s="3"/>
      <x:c r="F26" s="3"/>
      <x:c r="G26" s="3"/>
      <x:c r="H26" s="3"/>
    </x:row>
    <x:row r="27" ht="25" customHeight="1">
      <x:c r="A27" s="3" t="str">
        <x:v>Flag both conflicting records. Also flag missing dates and written quantities.</x:v>
      </x:c>
      <x:c r="B27" s="3"/>
      <x:c r="C27" s="3"/>
      <x:c r="D27" s="3"/>
      <x:c r="E27" s="3"/>
      <x:c r="F27" s="3"/>
      <x:c r="G27" s="3"/>
      <x:c r="H27" s="3"/>
    </x:row>
    <x:row r="28" ht="25" customHeight="1">
      <x:c r="A28" s="3" t="str">
        <x:v>This is a processed snapshot. Re-run cleaning after changing the source data.</x:v>
      </x:c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12" t="str">
        <x:v>Reconciliation</x:v>
      </x:c>
      <x:c r="B31" s="3"/>
      <x:c r="C31" s="3"/>
      <x:c r="D31" s="3"/>
      <x:c r="E31" s="3"/>
      <x:c r="F31" s="3"/>
      <x:c r="G31" s="3"/>
      <x:c r="H31" s="3"/>
    </x:row>
    <x:row r="32" ht="25" customHeight="1">
      <x:c r="A32" s="3" t="str">
        <x:v>All 12 input rows are accounted for: 7 cleaned, 1 duplicate, 4 for review.</x:v>
      </x:c>
      <x:c r="B32" s="3"/>
      <x:c r="C32" s="3"/>
      <x:c r="D32" s="3"/>
      <x:c r="E32" s="3"/>
      <x:c r="F32" s="3"/>
      <x:c r="G32" s="3"/>
      <x:c r="H32" s="3"/>
    </x:row>
    <x:row r="33" ht="25" customHeight="1">
      <x:c r="A33" s="3" t="str">
        <x:v>An independent calculation from valid source orders gives CNY 371.20.</x:v>
      </x:c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</x:sheetData>
  <x:conditionalFormatting sqref="B10:B10">
    <x:cfRule type="cellIs" dxfId="2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7" hidden="0" customWidth="1"/>
    <x:col min="5" max="5" width="66" hidden="0" customWidth="1"/>
    <x:col min="6" max="6" width="56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25" customHeight="1">
      <x:c r="A2" s="4" t="str">
        <x:v>Duplicates and review records</x:v>
      </x:c>
      <x:c r="B2" s="3"/>
      <x:c r="C2" s="3"/>
      <x:c r="D2" s="3"/>
      <x:c r="E2" s="3"/>
      <x:c r="F2" s="3"/>
    </x:row>
    <x:row r="3" ht="25" customHeight="1">
      <x:c r="A3" s="3" t="str">
        <x:v>Review records remain outside the cleaned table until confirmed.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29" customHeight="1">
      <x:c r="A5" s="7" t="str">
        <x:v>Disposition</x:v>
      </x:c>
      <x:c r="B5" s="7" t="str">
        <x:v>Source table</x:v>
      </x:c>
      <x:c r="C5" s="7" t="str">
        <x:v>Source row</x:v>
      </x:c>
      <x:c r="D5" s="7" t="str">
        <x:v>Order ID</x:v>
      </x:c>
      <x:c r="E5" s="7" t="str">
        <x:v>Issue</x:v>
      </x:c>
      <x:c r="F5" s="7" t="str">
        <x:v>Next action</x:v>
      </x:c>
    </x:row>
    <x:row r="6" ht="25" customHeight="1">
      <x:c r="A6" s="3" t="str">
        <x:v>Review needed</x:v>
      </x:c>
      <x:c r="B6" s="3" t="str">
        <x:v>Table A</x:v>
      </x:c>
      <x:c r="C6" s="9" t="n">
        <x:v>4</x:v>
      </x:c>
      <x:c r="D6" s="3" t="str">
        <x:v>S-004</x:v>
      </x:c>
      <x:c r="E6" s="3" t="str">
        <x:v>Conflicting unit prices for the same ID: 5.00 vs 6.00 CNY</x:v>
      </x:c>
      <x:c r="F6" s="3" t="str">
        <x:v>Confirm the correct price before retaining a row</x:v>
      </x:c>
    </x:row>
    <x:row r="7" ht="25" customHeight="1">
      <x:c r="A7" s="3" t="str">
        <x:v>Review needed</x:v>
      </x:c>
      <x:c r="B7" s="3" t="str">
        <x:v>Table A</x:v>
      </x:c>
      <x:c r="C7" s="9" t="n">
        <x:v>5</x:v>
      </x:c>
      <x:c r="D7" s="3" t="str">
        <x:v>S-005</x:v>
      </x:c>
      <x:c r="E7" s="3" t="str">
        <x:v>Missing order date</x:v>
      </x:c>
      <x:c r="F7" s="3" t="str">
        <x:v>Provide a reliable order date</x:v>
      </x:c>
    </x:row>
    <x:row r="8" ht="25" customHeight="1">
      <x:c r="A8" s="3" t="str">
        <x:v>Duplicate removed</x:v>
      </x:c>
      <x:c r="B8" s="3" t="str">
        <x:v>Table B</x:v>
      </x:c>
      <x:c r="C8" s="9" t="n">
        <x:v>1</x:v>
      </x:c>
      <x:c r="D8" s="3" t="str">
        <x:v>S-001</x:v>
      </x:c>
      <x:c r="E8" s="3" t="str">
        <x:v>All normalized fields match. Retained Table A, row 1.</x:v>
      </x:c>
      <x:c r="F8" s="3" t="str">
        <x:v>Removed from result; retained in source</x:v>
      </x:c>
    </x:row>
    <x:row r="9" ht="25" customHeight="1">
      <x:c r="A9" s="3" t="str">
        <x:v>Review needed</x:v>
      </x:c>
      <x:c r="B9" s="3" t="str">
        <x:v>Table B</x:v>
      </x:c>
      <x:c r="C9" s="9" t="n">
        <x:v>2</x:v>
      </x:c>
      <x:c r="D9" s="3" t="str">
        <x:v>S-004</x:v>
      </x:c>
      <x:c r="E9" s="3" t="str">
        <x:v>Conflicting unit prices for the same ID: 5.00 vs 6.00 CNY</x:v>
      </x:c>
      <x:c r="F9" s="3" t="str">
        <x:v>Confirm the correct price before retaining a row</x:v>
      </x:c>
    </x:row>
    <x:row r="10" ht="25" customHeight="1">
      <x:c r="A10" s="3" t="str">
        <x:v>Review needed</x:v>
      </x:c>
      <x:c r="B10" s="3" t="str">
        <x:v>Table B</x:v>
      </x:c>
      <x:c r="C10" s="9" t="n">
        <x:v>4</x:v>
      </x:c>
      <x:c r="D10" s="3" t="str">
        <x:v>S-008</x:v>
      </x:c>
      <x:c r="E10" s="3" t="str">
        <x:v>Quantity is not a positive integer</x:v>
      </x:c>
      <x:c r="F10" s="3" t="str">
        <x:v>Confirm whether "two" means numeric 2</x:v>
      </x:c>
    </x:row>
    <x:row r="11" ht="25" customHeight="1">
      <x:c r="A11" s="3"/>
      <x:c r="B11" s="3"/>
      <x:c r="C11" s="3"/>
      <x:c r="D11" s="3"/>
      <x:c r="E11" s="3"/>
      <x:c r="F11" s="3"/>
    </x:row>
    <x:row r="12" ht="25" customHeight="1">
      <x:c r="A12" s="3"/>
      <x:c r="B12" s="3"/>
      <x:c r="C12" s="3"/>
      <x:c r="D12" s="3"/>
      <x:c r="E12" s="3"/>
      <x:c r="F12" s="3"/>
    </x:row>
    <x:row r="13" ht="25" customHeight="1">
      <x:c r="A13" s="3"/>
      <x:c r="B13" s="3"/>
      <x:c r="C13" s="3"/>
      <x:c r="D13" s="3"/>
      <x:c r="E13" s="3"/>
      <x:c r="F13" s="3"/>
    </x:row>
  </x:sheetData>
  <x:conditionalFormatting sqref="A6:F10">
    <x:cfRule type="expression" dxfId="3" priority="1">
      <x:formula>$A6="Review needed"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14" hidden="0" customWidth="1"/>
    <x:col min="5" max="5" width="22" hidden="0" customWidth="1"/>
    <x:col min="6" max="6" width="23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25" customHeight="1">
      <x:c r="A2" s="4" t="str">
        <x:v>Original order tables</x:v>
      </x:c>
      <x:c r="B2" s="3"/>
      <x:c r="C2" s="3"/>
      <x:c r="D2" s="3"/>
      <x:c r="E2" s="3"/>
      <x:c r="F2" s="3"/>
    </x:row>
    <x:row r="3" ht="25" customHeight="1">
      <x:c r="A3" s="3" t="str">
        <x:v>Source: fictional data created for this demo. Original fields retained as text.</x:v>
      </x:c>
      <x:c r="B3" s="3"/>
      <x:c r="C3" s="3"/>
      <x:c r="D3" s="3"/>
      <x:c r="E3" s="3"/>
      <x:c r="F3" s="3"/>
    </x:row>
    <x:row r="4" ht="25" customHeight="1">
      <x:c r="A4" s="12" t="str">
        <x:v>Table A</x:v>
      </x:c>
      <x:c r="B4" s="3"/>
      <x:c r="C4" s="3"/>
      <x:c r="D4" s="3"/>
      <x:c r="E4" s="3"/>
      <x:c r="F4" s="3"/>
    </x:row>
    <x:row r="5" ht="29" customHeight="1">
      <x:c r="A5" s="7" t="str">
        <x:v>Source row</x:v>
      </x:c>
      <x:c r="B5" s="7" t="str">
        <x:v>Order ID</x:v>
      </x:c>
      <x:c r="C5" s="7" t="str">
        <x:v>Product</x:v>
      </x:c>
      <x:c r="D5" s="7" t="str">
        <x:v>Quantity</x:v>
      </x:c>
      <x:c r="E5" s="7" t="str">
        <x:v>Unit price</x:v>
      </x:c>
      <x:c r="F5" s="7" t="str">
        <x:v>Date</x:v>
      </x:c>
    </x:row>
    <x:row r="6" ht="25" customHeight="1">
      <x:c r="A6" s="3" t="n">
        <x:v>1</x:v>
      </x:c>
      <x:c r="B6" s="17" t="str">
        <x:v> S-001 </x:v>
      </x:c>
      <x:c r="C6" s="17" t="str">
        <x:v> Mug </x:v>
      </x:c>
      <x:c r="D6" s="17" t="str">
        <x:v>2</x:v>
      </x:c>
      <x:c r="E6" s="17" t="str">
        <x:v>￥39.90</x:v>
      </x:c>
      <x:c r="F6" s="17" t="str">
        <x:v>2026/09/01</x:v>
      </x:c>
    </x:row>
    <x:row r="7" ht="25" customHeight="1">
      <x:c r="A7" s="3" t="n">
        <x:v>2</x:v>
      </x:c>
      <x:c r="B7" s="17" t="str">
        <x:v>S-002</x:v>
      </x:c>
      <x:c r="C7" s="17" t="str">
        <x:v>Desk lamp</x:v>
      </x:c>
      <x:c r="D7" s="17" t="str">
        <x:v>1</x:v>
      </x:c>
      <x:c r="E7" s="17" t="str">
        <x:v>CNY 89.00</x:v>
      </x:c>
      <x:c r="F7" s="17" t="str">
        <x:v>2026-09-02</x:v>
      </x:c>
    </x:row>
    <x:row r="8" ht="25" customHeight="1">
      <x:c r="A8" s="3" t="n">
        <x:v>3</x:v>
      </x:c>
      <x:c r="B8" s="17" t="str">
        <x:v>S-003</x:v>
      </x:c>
      <x:c r="C8" s="17" t="str">
        <x:v>Notebook</x:v>
      </x:c>
      <x:c r="D8" s="17" t="str">
        <x:v>3</x:v>
      </x:c>
      <x:c r="E8" s="17" t="str">
        <x:v> 12.50 </x:v>
      </x:c>
      <x:c r="F8" s="17" t="str">
        <x:v>2026/09/03</x:v>
      </x:c>
    </x:row>
    <x:row r="9" ht="25" customHeight="1">
      <x:c r="A9" s="3" t="n">
        <x:v>4</x:v>
      </x:c>
      <x:c r="B9" s="17" t="str">
        <x:v>S-004</x:v>
      </x:c>
      <x:c r="C9" s="17" t="str">
        <x:v>Pen</x:v>
      </x:c>
      <x:c r="D9" s="17" t="str">
        <x:v>10</x:v>
      </x:c>
      <x:c r="E9" s="17" t="str">
        <x:v>5.00</x:v>
      </x:c>
      <x:c r="F9" s="17" t="str">
        <x:v>2026-09-04</x:v>
      </x:c>
    </x:row>
    <x:row r="10" ht="25" customHeight="1">
      <x:c r="A10" s="3" t="n">
        <x:v>5</x:v>
      </x:c>
      <x:c r="B10" s="17" t="str">
        <x:v>S-005</x:v>
      </x:c>
      <x:c r="C10" s="17" t="str">
        <x:v>Storage box</x:v>
      </x:c>
      <x:c r="D10" s="17" t="str">
        <x:v>1</x:v>
      </x:c>
      <x:c r="E10" s="17" t="str">
        <x:v>45.00</x:v>
      </x:c>
      <x:c r="F10" s="17" t="str"/>
    </x:row>
    <x:row r="11" ht="25" customHeight="1">
      <x:c r="A11" s="3" t="n">
        <x:v>6</x:v>
      </x:c>
      <x:c r="B11" s="17" t="str">
        <x:v>S-006</x:v>
      </x:c>
      <x:c r="C11" s="17" t="str">
        <x:v>Cable</x:v>
      </x:c>
      <x:c r="D11" s="17" t="str">
        <x:v>02</x:v>
      </x:c>
      <x:c r="E11" s="17" t="str">
        <x:v>18</x:v>
      </x:c>
      <x:c r="F11" s="17" t="str">
        <x:v>2026-09-05</x:v>
      </x:c>
    </x:row>
    <x:row r="12" ht="25" customHeight="1">
      <x:c r="A12" s="3"/>
      <x:c r="B12" s="3"/>
      <x:c r="C12" s="3"/>
      <x:c r="D12" s="3"/>
      <x:c r="E12" s="3"/>
      <x:c r="F12" s="3"/>
    </x:row>
    <x:row r="13" ht="25" customHeight="1">
      <x:c r="A13" s="3"/>
      <x:c r="B13" s="3"/>
      <x:c r="C13" s="3"/>
      <x:c r="D13" s="3"/>
      <x:c r="E13" s="3"/>
      <x:c r="F13" s="3"/>
    </x:row>
    <x:row r="14" ht="25" customHeight="1">
      <x:c r="A14" s="3"/>
      <x:c r="B14" s="3"/>
      <x:c r="C14" s="3"/>
      <x:c r="D14" s="3"/>
      <x:c r="E14" s="3"/>
      <x:c r="F14" s="3"/>
    </x:row>
    <x:row r="15" ht="25" customHeight="1">
      <x:c r="A15" s="12" t="str">
        <x:v>Table B</x:v>
      </x:c>
      <x:c r="B15" s="3"/>
      <x:c r="C15" s="3"/>
      <x:c r="D15" s="3"/>
      <x:c r="E15" s="3"/>
      <x:c r="F15" s="3"/>
    </x:row>
    <x:row r="16" ht="29" customHeight="1">
      <x:c r="A16" s="7" t="str">
        <x:v>Source row</x:v>
      </x:c>
      <x:c r="B16" s="7" t="str">
        <x:v>Order ID</x:v>
      </x:c>
      <x:c r="C16" s="7" t="str">
        <x:v>Product</x:v>
      </x:c>
      <x:c r="D16" s="7" t="str">
        <x:v>Quantity</x:v>
      </x:c>
      <x:c r="E16" s="7" t="str">
        <x:v>Unit price</x:v>
      </x:c>
      <x:c r="F16" s="7" t="str">
        <x:v>Date</x:v>
      </x:c>
    </x:row>
    <x:row r="17" ht="25" customHeight="1">
      <x:c r="A17" s="3" t="n">
        <x:v>1</x:v>
      </x:c>
      <x:c r="B17" s="17" t="str">
        <x:v>S-001</x:v>
      </x:c>
      <x:c r="C17" s="17" t="str">
        <x:v>Mug</x:v>
      </x:c>
      <x:c r="D17" s="17" t="str">
        <x:v>2</x:v>
      </x:c>
      <x:c r="E17" s="17" t="str">
        <x:v>39.9</x:v>
      </x:c>
      <x:c r="F17" s="17" t="str">
        <x:v>2026-09-01</x:v>
      </x:c>
    </x:row>
    <x:row r="18" ht="25" customHeight="1">
      <x:c r="A18" s="3" t="n">
        <x:v>2</x:v>
      </x:c>
      <x:c r="B18" s="17" t="str">
        <x:v>S-004</x:v>
      </x:c>
      <x:c r="C18" s="17" t="str">
        <x:v>Pen</x:v>
      </x:c>
      <x:c r="D18" s="17" t="str">
        <x:v>10</x:v>
      </x:c>
      <x:c r="E18" s="17" t="str">
        <x:v>6.00</x:v>
      </x:c>
      <x:c r="F18" s="17" t="str">
        <x:v>2026/09/04</x:v>
      </x:c>
    </x:row>
    <x:row r="19" ht="25" customHeight="1">
      <x:c r="A19" s="3" t="n">
        <x:v>3</x:v>
      </x:c>
      <x:c r="B19" s="17" t="str">
        <x:v>S-007</x:v>
      </x:c>
      <x:c r="C19" s="17" t="str">
        <x:v>Tote bag</x:v>
      </x:c>
      <x:c r="D19" s="17" t="str">
        <x:v>1</x:v>
      </x:c>
      <x:c r="E19" s="17" t="str">
        <x:v>￥59.00</x:v>
      </x:c>
      <x:c r="F19" s="17" t="str">
        <x:v>2026-09-06</x:v>
      </x:c>
    </x:row>
    <x:row r="20" ht="25" customHeight="1">
      <x:c r="A20" s="3" t="n">
        <x:v>4</x:v>
      </x:c>
      <x:c r="B20" s="17" t="str">
        <x:v>S-008</x:v>
      </x:c>
      <x:c r="C20" s="17" t="str">
        <x:v>Glass</x:v>
      </x:c>
      <x:c r="D20" s="17" t="str">
        <x:v>two</x:v>
      </x:c>
      <x:c r="E20" s="17" t="str">
        <x:v>29.00</x:v>
      </x:c>
      <x:c r="F20" s="17" t="str">
        <x:v>2026-09-07</x:v>
      </x:c>
    </x:row>
    <x:row r="21" ht="25" customHeight="1">
      <x:c r="A21" s="3" t="n">
        <x:v>5</x:v>
      </x:c>
      <x:c r="B21" s="17" t="str">
        <x:v>s-009</x:v>
      </x:c>
      <x:c r="C21" s="17" t="str">
        <x:v>Phone stand</x:v>
      </x:c>
      <x:c r="D21" s="17" t="str">
        <x:v>2</x:v>
      </x:c>
      <x:c r="E21" s="17" t="str">
        <x:v>25</x:v>
      </x:c>
      <x:c r="F21" s="17" t="str">
        <x:v>2026/09/08</x:v>
      </x:c>
    </x:row>
    <x:row r="22" ht="25" customHeight="1">
      <x:c r="A22" s="3" t="n">
        <x:v>6</x:v>
      </x:c>
      <x:c r="B22" s="17" t="str">
        <x:v>S-010</x:v>
      </x:c>
      <x:c r="C22" s="17" t="str">
        <x:v>Mouse pad </x:v>
      </x:c>
      <x:c r="D22" s="17" t="str">
        <x:v>1</x:v>
      </x:c>
      <x:c r="E22" s="17" t="str">
        <x:v>19.90</x:v>
      </x:c>
      <x:c r="F22" s="17" t="str">
        <x:v>2026-09-09</x:v>
      </x:c>
    </x:row>
    <x:row r="23" ht="25" customHeight="1">
      <x:c r="A23" s="3"/>
      <x:c r="B23" s="3"/>
      <x:c r="C23" s="3"/>
      <x:c r="D23" s="3"/>
      <x:c r="E23" s="3"/>
      <x:c r="F23" s="3"/>
    </x:row>
  </x:sheetData>
  <x:pageMargins left="0.7" right="0.7" top="0.75" bottom="0.75" header="0.3" footer="0.3"/>
</x:worksheet>
</file>